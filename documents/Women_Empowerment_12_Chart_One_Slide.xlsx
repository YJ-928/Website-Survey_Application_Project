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Tanuj.Kumar\Desktop\"/>
    </mc:Choice>
  </mc:AlternateContent>
  <xr:revisionPtr revIDLastSave="2" documentId="13_ncr:1_{41F94516-0208-485E-B8A8-9F0320B03DA8}" xr6:coauthVersionLast="47" xr6:coauthVersionMax="47" xr10:uidLastSave="{F26EAD31-5D3E-4AD5-9172-ED59AF4113C1}"/>
  <bookViews>
    <workbookView xWindow="-120" yWindow="-120" windowWidth="20730" windowHeight="11040" firstSheet="2" activeTab="2" xr2:uid="{00000000-000D-0000-FFFF-FFFF00000000}"/>
  </bookViews>
  <sheets>
    <sheet name="Data" sheetId="1" r:id="rId1"/>
    <sheet name="Calculations" sheetId="2" r:id="rId2"/>
    <sheet name="FULL_12_CHART_DASHBOARD" sheetId="4" r:id="rId3"/>
  </sheets>
  <definedNames>
    <definedName name="_xlnm._FilterDatabase" localSheetId="0" hidden="1">Data!$A$1:$G$13</definedName>
    <definedName name="_xlchart.v1.0" hidden="1">Calculations!$G$2:$G$4</definedName>
    <definedName name="_xlchart.v1.1" hidden="1">Calculations!$H$1</definedName>
    <definedName name="_xlchart.v1.10" hidden="1">Calculations!$W$2:$W$3</definedName>
    <definedName name="_xlchart.v1.11" hidden="1">Calculations!$A$2:$A$6</definedName>
    <definedName name="_xlchart.v1.12" hidden="1">Calculations!$B$2:$B$6</definedName>
    <definedName name="_xlchart.v1.16" hidden="1">Calculations!$M$2:$M$9</definedName>
    <definedName name="_xlchart.v1.17" hidden="1">Calculations!$N$1</definedName>
    <definedName name="_xlchart.v1.18" hidden="1">Calculations!$N$2:$N$9</definedName>
    <definedName name="_xlchart.v1.2" hidden="1">Calculations!$H$2:$H$4</definedName>
    <definedName name="_xlchart.v1.3" hidden="1">Calculations!$A$2:$A$6</definedName>
    <definedName name="_xlchart.v1.4" hidden="1">Calculations!$B$2:$B$6</definedName>
    <definedName name="_xlchart.v1.5" hidden="1">Calculations!$G$2:$G$4</definedName>
    <definedName name="_xlchart.v1.6" hidden="1">Calculations!$H$1</definedName>
    <definedName name="_xlchart.v1.7" hidden="1">Calculations!$H$2:$H$4</definedName>
    <definedName name="_xlchart.v1.8" hidden="1">Calculations!$V$2:$V$3</definedName>
    <definedName name="_xlchart.v1.9" hidden="1">Calculations!$W$1</definedName>
    <definedName name="_xlchart.v2.13" hidden="1">Calculations!$D$2:$D$5</definedName>
    <definedName name="_xlchart.v2.14" hidden="1">Calculations!$E$1</definedName>
    <definedName name="_xlchart.v2.15" hidden="1">Calculations!$E$2:$E$5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T5" i="2"/>
  <c r="T4" i="2"/>
  <c r="T3" i="2"/>
  <c r="Q2" i="2"/>
  <c r="N9" i="2"/>
  <c r="K9" i="2"/>
  <c r="N8" i="2"/>
  <c r="K8" i="2"/>
  <c r="N7" i="2"/>
  <c r="K7" i="2"/>
  <c r="N6" i="2"/>
  <c r="K6" i="2"/>
  <c r="B6" i="2"/>
  <c r="Q5" i="2"/>
  <c r="N5" i="2"/>
  <c r="K5" i="2"/>
  <c r="E5" i="2"/>
  <c r="B5" i="2"/>
  <c r="Q4" i="2"/>
  <c r="N4" i="2"/>
  <c r="K4" i="2"/>
  <c r="H4" i="2"/>
  <c r="E4" i="2"/>
  <c r="B4" i="2"/>
  <c r="W3" i="2"/>
  <c r="Q3" i="2"/>
  <c r="N3" i="2"/>
  <c r="K3" i="2"/>
  <c r="H3" i="2"/>
  <c r="E3" i="2"/>
  <c r="B3" i="2"/>
  <c r="W2" i="2"/>
  <c r="N2" i="2"/>
  <c r="K2" i="2"/>
  <c r="H2" i="2"/>
  <c r="E2" i="2"/>
  <c r="B2" i="2"/>
</calcChain>
</file>

<file path=xl/sharedStrings.xml><?xml version="1.0" encoding="utf-8"?>
<sst xmlns="http://schemas.openxmlformats.org/spreadsheetml/2006/main" count="137" uniqueCount="53">
  <si>
    <t>SubmissionID</t>
  </si>
  <si>
    <t>District</t>
  </si>
  <si>
    <t>Category</t>
  </si>
  <si>
    <t>TimeHorizon</t>
  </si>
  <si>
    <t>Goal</t>
  </si>
  <si>
    <t>Support</t>
  </si>
  <si>
    <t>Mode</t>
  </si>
  <si>
    <t>D1</t>
  </si>
  <si>
    <t>Homemaker</t>
  </si>
  <si>
    <t>0-1</t>
  </si>
  <si>
    <t>Income</t>
  </si>
  <si>
    <t>Training</t>
  </si>
  <si>
    <t>Offline</t>
  </si>
  <si>
    <t>D2</t>
  </si>
  <si>
    <t>Entrepreneur</t>
  </si>
  <si>
    <t>1-3</t>
  </si>
  <si>
    <t>Business</t>
  </si>
  <si>
    <t>Loan</t>
  </si>
  <si>
    <t>Online</t>
  </si>
  <si>
    <t>3-5</t>
  </si>
  <si>
    <t>Expansion</t>
  </si>
  <si>
    <t>D3</t>
  </si>
  <si>
    <t>Farmer</t>
  </si>
  <si>
    <t>Equipment</t>
  </si>
  <si>
    <t>D4</t>
  </si>
  <si>
    <t>Differently-Abled</t>
  </si>
  <si>
    <t>D5</t>
  </si>
  <si>
    <t>Student</t>
  </si>
  <si>
    <t>Education</t>
  </si>
  <si>
    <t>D6</t>
  </si>
  <si>
    <t>Stability</t>
  </si>
  <si>
    <t>Funding</t>
  </si>
  <si>
    <t>D7</t>
  </si>
  <si>
    <t>D8</t>
  </si>
  <si>
    <t>Metric</t>
  </si>
  <si>
    <t>Value</t>
  </si>
  <si>
    <t>Count</t>
  </si>
  <si>
    <t>Time</t>
  </si>
  <si>
    <t>PriorityScore</t>
  </si>
  <si>
    <t>IncomeInterest</t>
  </si>
  <si>
    <t>Stage</t>
  </si>
  <si>
    <t>Total Responses</t>
  </si>
  <si>
    <t>Total</t>
  </si>
  <si>
    <t>Homemakers</t>
  </si>
  <si>
    <t>Immediate Income Seekers</t>
  </si>
  <si>
    <t>Entrepreneurs</t>
  </si>
  <si>
    <t>ShortTerm Income Seekers</t>
  </si>
  <si>
    <t>Farmers</t>
  </si>
  <si>
    <t>Long Term Income Seekers</t>
  </si>
  <si>
    <t>WOMEN EMPOWERMENT – GOVERNOR ONE SLIDE (12 CHART STORYBOARD)</t>
  </si>
  <si>
    <t>PROBLEM AREAS</t>
  </si>
  <si>
    <t>WHICH TO FOCUS</t>
  </si>
  <si>
    <t>NECESSARY STEPS TO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</si>
</sst>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1. Total Survey Participation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Calculations!$B$1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Calculations!$B$2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1-40A1-9476-E5BD2C4B0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kumimoji="0" lang="en-US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</a:rPr>
              <a:t>6. High Priority Districts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Calculations!$K$1</c:f>
              <c:strCache>
                <c:ptCount val="1"/>
                <c:pt idx="0">
                  <c:v>PriorityScore</c:v>
                </c:pt>
              </c:strCache>
            </c:strRef>
          </c:tx>
          <c:cat>
            <c:strRef>
              <c:f>Calculations!$J$2:$J$9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Calculations!$K$2:$K$9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12-459B-B65D-794EEDFC1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899967"/>
        <c:axId val="2014900927"/>
      </c:lineChart>
      <c:catAx>
        <c:axId val="2014899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14900927"/>
        <c:crosses val="autoZero"/>
        <c:auto val="1"/>
        <c:lblAlgn val="ctr"/>
        <c:lblOffset val="100"/>
        <c:noMultiLvlLbl val="0"/>
      </c:catAx>
      <c:valAx>
        <c:axId val="2014900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48999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8. Focus Area – Support Type Demand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Calculations!$Q$1</c:f>
              <c:strCache>
                <c:ptCount val="1"/>
                <c:pt idx="0">
                  <c:v>Count</c:v>
                </c:pt>
              </c:strCache>
            </c:strRef>
          </c:tx>
          <c:marker>
            <c:symbol val="none"/>
          </c:marker>
          <c:dPt>
            <c:idx val="0"/>
            <c:bubble3D val="0"/>
            <c:spPr>
              <a:ln>
                <a:solidFill>
                  <a:srgbClr val="00B0F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0F61-4414-AF68-753A98C3C6D9}"/>
              </c:ext>
            </c:extLst>
          </c:dPt>
          <c:dPt>
            <c:idx val="1"/>
            <c:bubble3D val="0"/>
            <c:spPr>
              <a:ln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F61-4414-AF68-753A98C3C6D9}"/>
              </c:ext>
            </c:extLst>
          </c:dPt>
          <c:dPt>
            <c:idx val="2"/>
            <c:bubble3D val="0"/>
            <c:spPr>
              <a:ln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0F61-4414-AF68-753A98C3C6D9}"/>
              </c:ext>
            </c:extLst>
          </c:dPt>
          <c:dPt>
            <c:idx val="3"/>
            <c:bubble3D val="0"/>
            <c:spPr>
              <a:ln>
                <a:solidFill>
                  <a:schemeClr val="accent6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F61-4414-AF68-753A98C3C6D9}"/>
              </c:ext>
            </c:extLst>
          </c:dPt>
          <c:cat>
            <c:strRef>
              <c:f>Calculations!$P$2:$P$5</c:f>
              <c:strCache>
                <c:ptCount val="4"/>
                <c:pt idx="0">
                  <c:v>Training</c:v>
                </c:pt>
                <c:pt idx="1">
                  <c:v>Loan</c:v>
                </c:pt>
                <c:pt idx="2">
                  <c:v>Equipment</c:v>
                </c:pt>
                <c:pt idx="3">
                  <c:v>Funding</c:v>
                </c:pt>
              </c:strCache>
            </c:strRef>
          </c:cat>
          <c:val>
            <c:numRef>
              <c:f>Calculations!$Q$2:$Q$5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1-4939-A9CE-FF65B4253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10. Recommended Support Mix</a:t>
            </a:r>
          </a:p>
        </c:rich>
      </c:tx>
      <c:overlay val="1"/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ln>
              <a:prstDash val="solid"/>
            </a:ln>
          </c:spPr>
          <c:cat>
            <c:strRef>
              <c:f>Calculations!$D$2:$D$5</c:f>
              <c:strCache>
                <c:ptCount val="4"/>
                <c:pt idx="0">
                  <c:v>Training</c:v>
                </c:pt>
                <c:pt idx="1">
                  <c:v>Loan</c:v>
                </c:pt>
                <c:pt idx="2">
                  <c:v>Equipment</c:v>
                </c:pt>
                <c:pt idx="3">
                  <c:v>Funding</c:v>
                </c:pt>
              </c:strCache>
            </c:strRef>
          </c:cat>
          <c:val>
            <c:numRef>
              <c:f>Calculations!$E$2:$E$5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2-41A6-BE6A-9E11C45E0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443551"/>
        <c:axId val="1095451231"/>
      </c:areaChart>
      <c:catAx>
        <c:axId val="1095443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95451231"/>
        <c:crosses val="autoZero"/>
        <c:auto val="1"/>
        <c:lblAlgn val="ctr"/>
        <c:lblOffset val="100"/>
        <c:noMultiLvlLbl val="0"/>
      </c:catAx>
      <c:valAx>
        <c:axId val="10954512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54435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11. Decision Funnel – Need to Action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Calculations!$S$2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Calculations!$T$1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Calculations!$T$2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9-4486-98E2-44FC939B9857}"/>
            </c:ext>
          </c:extLst>
        </c:ser>
        <c:ser>
          <c:idx val="1"/>
          <c:order val="1"/>
          <c:tx>
            <c:strRef>
              <c:f>Calculations!$S$3</c:f>
              <c:strCache>
                <c:ptCount val="1"/>
                <c:pt idx="0">
                  <c:v>Immediate Income Seekers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0-DC03-40A3-BCAB-4699E1915E00}"/>
              </c:ext>
            </c:extLst>
          </c:dPt>
          <c:cat>
            <c:strRef>
              <c:f>Calculations!$T$1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Calculations!$T$3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4-423F-B19D-DDAD529E9679}"/>
            </c:ext>
          </c:extLst>
        </c:ser>
        <c:ser>
          <c:idx val="2"/>
          <c:order val="2"/>
          <c:tx>
            <c:strRef>
              <c:f>Calculations!$S$4</c:f>
              <c:strCache>
                <c:ptCount val="1"/>
                <c:pt idx="0">
                  <c:v>ShortTerm Income Seekers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1-DC03-40A3-BCAB-4699E1915E00}"/>
              </c:ext>
            </c:extLst>
          </c:dPt>
          <c:cat>
            <c:strRef>
              <c:f>Calculations!$T$1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Calculations!$T$4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4-423F-B19D-DDAD529E9679}"/>
            </c:ext>
          </c:extLst>
        </c:ser>
        <c:ser>
          <c:idx val="3"/>
          <c:order val="3"/>
          <c:tx>
            <c:strRef>
              <c:f>Calculations!$S$5</c:f>
              <c:strCache>
                <c:ptCount val="1"/>
                <c:pt idx="0">
                  <c:v>Long Term Income Seekers</c:v>
                </c:pt>
              </c:strCache>
            </c:strRef>
          </c:tx>
          <c:invertIfNegative val="0"/>
          <c:cat>
            <c:strRef>
              <c:f>Calculations!$T$1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Calculations!$T$5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4-423F-B19D-DDAD529E9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</cx:chartData>
  <cx:chart>
    <cx:title pos="t" align="ctr" overlay="0">
      <cx:tx>
        <cx:txData>
          <cx:v>2. Participation by Category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rPr kumimoji="0" 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</a:rPr>
            <a:t>2. Participation by Category</a:t>
          </a:r>
        </a:p>
      </cx:txPr>
    </cx:title>
    <cx:plotArea>
      <cx:plotAreaRegion>
        <cx:series layoutId="boxWhisker" uniqueId="{FB5CE4CB-50FB-4D77-BD3A-A28C452F44B2}">
          <cx:dataId val="0"/>
          <cx:layoutPr>
            <cx:statistics quartileMethod="exclusive"/>
          </cx:layoutPr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000" b="0" i="0" u="none" strike="noStrike" kern="1200" baseline="0">
            <a:solidFill>
              <a:sysClr val="windowText" lastClr="000000"/>
            </a:solidFill>
            <a:latin typeface="Calibri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_xlchart.v2.13</cx:f>
      </cx:strDim>
      <cx:numDim type="val">
        <cx:f>_xlchart.v2.15</cx:f>
      </cx:numDim>
    </cx:data>
  </cx:chartData>
  <cx:chart>
    <cx:title pos="t" align="ctr" overlay="0">
      <cx:tx>
        <cx:txData>
          <cx:v>3. Top Problem Areas – Support Demand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rPr kumimoji="0" 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</a:rPr>
            <a:t>3. Top Problem Areas – Support Demand</a:t>
          </a:r>
        </a:p>
      </cx:txPr>
    </cx:title>
    <cx:plotArea>
      <cx:plotAreaRegion>
        <cx:series layoutId="funnel" uniqueId="{26732DD0-44D3-4C0A-80B5-107F0DF640D5}">
          <cx:tx>
            <cx:txData>
              <cx:f>_xlchart.v2.14</cx:f>
              <cx:v>Count</cx:v>
            </cx:txData>
          </cx:tx>
          <cx:dataId val="0"/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title pos="t" align="ctr" overlay="0">
      <cx:tx>
        <cx:txData>
          <cx:v>4. District-wise Interest Concentration (Income)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rPr kumimoji="0" 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</a:rPr>
            <a:t>4. District-wise Interest Concentration (Income)</a:t>
          </a:r>
        </a:p>
      </cx:txPr>
    </cx:title>
    <cx:plotArea>
      <cx:plotAreaRegion>
        <cx:series layoutId="waterfall" uniqueId="{314D4295-7BAD-4B34-9797-C4416B0F4E2A}">
          <cx:tx>
            <cx:txData>
              <cx:f>_xlchart.v1.17</cx:f>
              <cx:v>IncomeInterest</cx:v>
            </cx:txData>
          </cx:tx>
          <cx:dataId val="0"/>
          <cx:layoutPr>
            <cx:subtotals/>
          </cx:layoutPr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5. Urgency – Time Horizon Distribution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rPr kumimoji="0" 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</a:rPr>
            <a:t>5. Urgency – Time Horizon Distribution</a:t>
          </a:r>
        </a:p>
      </cx:txPr>
    </cx:title>
    <cx:plotArea>
      <cx:plotAreaRegion>
        <cx:series layoutId="waterfall" uniqueId="{940E81B9-F828-447D-A7D7-BA316EFD8C43}">
          <cx:tx>
            <cx:txData>
              <cx:f>_xlchart.v1.1</cx:f>
              <cx:v>Count</cx:v>
            </cx:txData>
          </cx:tx>
          <cx:dataId val="0"/>
          <cx:layoutPr>
            <cx:subtotals/>
          </cx:layoutPr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</cx:chartData>
  <cx:chart>
    <cx:title pos="t" align="ctr" overlay="0">
      <cx:tx>
        <cx:txData>
          <cx:v>7. Primary Beneficiary Segment Focus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rPr kumimoji="0" 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</a:rPr>
            <a:t>7. Primary Beneficiary Segment Focus</a:t>
          </a:r>
        </a:p>
      </cx:txPr>
    </cx:title>
    <cx:plotArea>
      <cx:plotAreaRegion>
        <cx:series layoutId="sunburst" uniqueId="{C12D82AD-C90A-4485-802E-9BD079EAEA41}">
          <cx:dataPt idx="1">
            <cx:spPr>
              <a:solidFill>
                <a:srgbClr val="F79646">
                  <a:lumMod val="75000"/>
                </a:srgbClr>
              </a:solidFill>
            </cx:spPr>
          </cx:dataPt>
          <cx:dataId val="0"/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>
      <cx:tx>
        <cx:txData>
          <cx:v>9. Action Direction by Time Horizon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rPr kumimoji="0" 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</a:rPr>
            <a:t>9. Action Direction by Time Horizon</a:t>
          </a:r>
        </a:p>
      </cx:txPr>
    </cx:title>
    <cx:plotArea>
      <cx:plotAreaRegion>
        <cx:series layoutId="sunburst" uniqueId="{3926ED74-2341-489B-98C5-195E8B1DCA7E}">
          <cx:tx>
            <cx:txData>
              <cx:f>_xlchart.v1.6</cx:f>
              <cx:v>Count</cx:v>
            </cx:txData>
          </cx:tx>
          <cx:dataPt idx="1">
            <cx:spPr>
              <a:solidFill>
                <a:srgbClr val="00B050"/>
              </a:solidFill>
            </cx:spPr>
          </cx:dataPt>
          <cx:dataPt idx="2">
            <cx:spPr>
              <a:solidFill>
                <a:srgbClr val="FFC000"/>
              </a:solidFill>
            </cx:spPr>
          </cx:dataPt>
          <cx:dataId val="0"/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>
      <cx:tx>
        <cx:txData>
          <cx:v>12. Governance &amp; Data Health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rPr kumimoji="0" 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</a:rPr>
            <a:t>12. Governance &amp; Data Health</a:t>
          </a:r>
        </a:p>
      </cx:txPr>
    </cx:title>
    <cx:plotArea>
      <cx:plotAreaRegion>
        <cx:series layoutId="sunburst" uniqueId="{6B41D6CA-E7B7-4BE7-B446-630C9824E471}">
          <cx:tx>
            <cx:txData>
              <cx:f>_xlchart.v1.9</cx:f>
              <cx:v>Count</cx:v>
            </cx:txData>
          </cx:tx>
          <cx:dataPt idx="1">
            <cx:spPr>
              <a:solidFill>
                <a:srgbClr val="00B050"/>
              </a:solidFill>
            </cx:spPr>
          </cx:dataPt>
          <cx:dataId val="0"/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000" b="0" i="0" u="none" strike="noStrike" kern="1200" baseline="0">
            <a:solidFill>
              <a:sysClr val="windowText" lastClr="000000"/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microsoft.com/office/2014/relationships/chartEx" Target="../charts/chartEx2.xml"/><Relationship Id="rId7" Type="http://schemas.microsoft.com/office/2014/relationships/chartEx" Target="../charts/chartEx5.xml"/><Relationship Id="rId12" Type="http://schemas.microsoft.com/office/2014/relationships/chartEx" Target="../charts/chartEx7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11" Type="http://schemas.openxmlformats.org/officeDocument/2006/relationships/chart" Target="../charts/chart5.xml"/><Relationship Id="rId5" Type="http://schemas.microsoft.com/office/2014/relationships/chartEx" Target="../charts/chartEx4.xml"/><Relationship Id="rId10" Type="http://schemas.openxmlformats.org/officeDocument/2006/relationships/chart" Target="../charts/chart4.xml"/><Relationship Id="rId4" Type="http://schemas.microsoft.com/office/2014/relationships/chartEx" Target="../charts/chartEx3.xml"/><Relationship Id="rId9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47625</xdr:colOff>
      <xdr:row>4</xdr:row>
      <xdr:rowOff>0</xdr:rowOff>
    </xdr:from>
    <xdr:ext cx="5400000" cy="27000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oneCellAnchor>
  <xdr:oneCellAnchor>
    <xdr:from>
      <xdr:col>18</xdr:col>
      <xdr:colOff>9525</xdr:colOff>
      <xdr:row>4</xdr:row>
      <xdr:rowOff>0</xdr:rowOff>
    </xdr:from>
    <xdr:ext cx="5400000" cy="2700000"/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oneCellAnchor>
  <xdr:oneCellAnchor>
    <xdr:from>
      <xdr:col>27</xdr:col>
      <xdr:colOff>28575</xdr:colOff>
      <xdr:row>4</xdr:row>
      <xdr:rowOff>0</xdr:rowOff>
    </xdr:from>
    <xdr:ext cx="5400000" cy="27000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5400000" cy="27000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oneCellAnchor>
  <xdr:oneCellAnchor>
    <xdr:from>
      <xdr:col>9</xdr:col>
      <xdr:colOff>47625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66675</xdr:colOff>
      <xdr:row>21</xdr:row>
      <xdr:rowOff>0</xdr:rowOff>
    </xdr:from>
    <xdr:ext cx="5400000" cy="27000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oneCellAnchor>
  <xdr:oneCellAnchor>
    <xdr:from>
      <xdr:col>27</xdr:col>
      <xdr:colOff>76200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5400000" cy="27000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oneCellAnchor>
  <xdr:oneCellAnchor>
    <xdr:from>
      <xdr:col>9</xdr:col>
      <xdr:colOff>9525</xdr:colOff>
      <xdr:row>38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18</xdr:col>
      <xdr:colOff>47625</xdr:colOff>
      <xdr:row>38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27</xdr:col>
      <xdr:colOff>66675</xdr:colOff>
      <xdr:row>38</xdr:row>
      <xdr:rowOff>28575</xdr:rowOff>
    </xdr:from>
    <xdr:ext cx="5400000" cy="27000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  <a:ext uri="{147F2762-F138-4A5C-976F-8EAC2B608ADB}">
                  <a16:predDERef xmlns:a16="http://schemas.microsoft.com/office/drawing/2014/main" pred="{00000000-0008-0000-03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25875" y="7315200"/>
              <a:ext cx="5400000" cy="27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opLeftCell="A10" workbookViewId="0">
      <selection activeCell="D2" sqref="D2:D13"/>
    </sheetView>
  </sheetViews>
  <sheetFormatPr defaultRowHeight="15"/>
  <cols>
    <col min="3" max="3" width="16.85546875" bestFit="1" customWidth="1"/>
    <col min="4" max="4" width="12.28515625" bestFit="1" customWidth="1"/>
    <col min="5" max="5" width="10" bestFit="1" customWidth="1"/>
    <col min="6" max="6" width="10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>
      <c r="A5">
        <v>4</v>
      </c>
      <c r="B5" t="s">
        <v>13</v>
      </c>
      <c r="C5" t="s">
        <v>14</v>
      </c>
      <c r="D5" t="s">
        <v>19</v>
      </c>
      <c r="E5" t="s">
        <v>20</v>
      </c>
      <c r="F5" t="s">
        <v>17</v>
      </c>
      <c r="G5" t="s">
        <v>18</v>
      </c>
    </row>
    <row r="6" spans="1:7">
      <c r="A6">
        <v>5</v>
      </c>
      <c r="B6" t="s">
        <v>21</v>
      </c>
      <c r="C6" t="s">
        <v>22</v>
      </c>
      <c r="D6" t="s">
        <v>9</v>
      </c>
      <c r="E6" t="s">
        <v>10</v>
      </c>
      <c r="F6" t="s">
        <v>23</v>
      </c>
      <c r="G6" t="s">
        <v>12</v>
      </c>
    </row>
    <row r="7" spans="1:7">
      <c r="A7">
        <v>6</v>
      </c>
      <c r="B7" t="s">
        <v>24</v>
      </c>
      <c r="C7" t="s">
        <v>25</v>
      </c>
      <c r="D7" t="s">
        <v>9</v>
      </c>
      <c r="E7" t="s">
        <v>10</v>
      </c>
      <c r="F7" t="s">
        <v>11</v>
      </c>
      <c r="G7" t="s">
        <v>12</v>
      </c>
    </row>
    <row r="8" spans="1:7">
      <c r="A8">
        <v>7</v>
      </c>
      <c r="B8" t="s">
        <v>26</v>
      </c>
      <c r="C8" t="s">
        <v>27</v>
      </c>
      <c r="D8" t="s">
        <v>15</v>
      </c>
      <c r="E8" t="s">
        <v>28</v>
      </c>
      <c r="F8" t="s">
        <v>11</v>
      </c>
      <c r="G8" t="s">
        <v>18</v>
      </c>
    </row>
    <row r="9" spans="1:7">
      <c r="A9">
        <v>8</v>
      </c>
      <c r="B9" t="s">
        <v>29</v>
      </c>
      <c r="C9" t="s">
        <v>8</v>
      </c>
      <c r="D9" t="s">
        <v>15</v>
      </c>
      <c r="E9" t="s">
        <v>30</v>
      </c>
      <c r="F9" t="s">
        <v>31</v>
      </c>
      <c r="G9" t="s">
        <v>12</v>
      </c>
    </row>
    <row r="10" spans="1:7">
      <c r="A10">
        <v>9</v>
      </c>
      <c r="B10" t="s">
        <v>32</v>
      </c>
      <c r="C10" t="s">
        <v>8</v>
      </c>
      <c r="D10" t="s">
        <v>19</v>
      </c>
      <c r="E10" t="s">
        <v>28</v>
      </c>
      <c r="F10" t="s">
        <v>11</v>
      </c>
      <c r="G10" t="s">
        <v>12</v>
      </c>
    </row>
    <row r="11" spans="1:7">
      <c r="A11">
        <v>10</v>
      </c>
      <c r="B11" t="s">
        <v>33</v>
      </c>
      <c r="C11" t="s">
        <v>8</v>
      </c>
      <c r="D11" t="s">
        <v>9</v>
      </c>
      <c r="E11" t="s">
        <v>10</v>
      </c>
      <c r="F11" t="s">
        <v>11</v>
      </c>
      <c r="G11" t="s">
        <v>18</v>
      </c>
    </row>
    <row r="12" spans="1:7">
      <c r="A12">
        <v>11</v>
      </c>
      <c r="B12" t="s">
        <v>21</v>
      </c>
      <c r="C12" t="s">
        <v>22</v>
      </c>
      <c r="D12" t="s">
        <v>15</v>
      </c>
      <c r="E12" t="s">
        <v>10</v>
      </c>
      <c r="F12" t="s">
        <v>23</v>
      </c>
      <c r="G12" t="s">
        <v>12</v>
      </c>
    </row>
    <row r="13" spans="1:7">
      <c r="A13">
        <v>12</v>
      </c>
      <c r="B13" t="s">
        <v>24</v>
      </c>
      <c r="C13" t="s">
        <v>25</v>
      </c>
      <c r="D13" t="s">
        <v>9</v>
      </c>
      <c r="E13" t="s">
        <v>10</v>
      </c>
      <c r="F13" t="s">
        <v>11</v>
      </c>
      <c r="G1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"/>
  <sheetViews>
    <sheetView topLeftCell="D1" workbookViewId="0">
      <selection activeCell="E2" sqref="E2"/>
    </sheetView>
  </sheetViews>
  <sheetFormatPr defaultRowHeight="15"/>
  <cols>
    <col min="1" max="1" width="16.85546875" bestFit="1" customWidth="1"/>
    <col min="4" max="4" width="10.7109375" bestFit="1" customWidth="1"/>
    <col min="16" max="16" width="10.7109375" bestFit="1" customWidth="1"/>
    <col min="19" max="19" width="10.28515625" bestFit="1" customWidth="1"/>
  </cols>
  <sheetData>
    <row r="1" spans="1:23">
      <c r="A1" s="1" t="s">
        <v>34</v>
      </c>
      <c r="B1" s="1" t="s">
        <v>35</v>
      </c>
      <c r="D1" s="1" t="s">
        <v>5</v>
      </c>
      <c r="E1" s="1" t="s">
        <v>36</v>
      </c>
      <c r="G1" s="1" t="s">
        <v>37</v>
      </c>
      <c r="H1" s="1" t="s">
        <v>36</v>
      </c>
      <c r="J1" s="1" t="s">
        <v>1</v>
      </c>
      <c r="K1" s="1" t="s">
        <v>38</v>
      </c>
      <c r="M1" t="s">
        <v>1</v>
      </c>
      <c r="N1" t="s">
        <v>39</v>
      </c>
      <c r="P1" t="s">
        <v>5</v>
      </c>
      <c r="Q1" t="s">
        <v>36</v>
      </c>
      <c r="S1" t="s">
        <v>40</v>
      </c>
      <c r="T1" t="s">
        <v>36</v>
      </c>
      <c r="V1" t="s">
        <v>6</v>
      </c>
      <c r="W1" t="s">
        <v>36</v>
      </c>
    </row>
    <row r="2" spans="1:23">
      <c r="A2" t="s">
        <v>41</v>
      </c>
      <c r="B2">
        <f>COUNTA(Data!A2:A100)</f>
        <v>12</v>
      </c>
      <c r="D2" t="s">
        <v>11</v>
      </c>
      <c r="E2">
        <f>COUNTIF(Data!F:F,"Training")</f>
        <v>7</v>
      </c>
      <c r="G2" t="s">
        <v>9</v>
      </c>
      <c r="H2">
        <f>COUNTIF(Data!D:D,"0-1")</f>
        <v>6</v>
      </c>
      <c r="J2" t="s">
        <v>7</v>
      </c>
      <c r="K2">
        <f>COUNTIF(Data!B:B,"D1")*10</f>
        <v>20</v>
      </c>
      <c r="M2" t="s">
        <v>7</v>
      </c>
      <c r="N2">
        <f>COUNTIFS(Data!B:B,"D1",Data!E:E,"Income")</f>
        <v>2</v>
      </c>
      <c r="P2" t="s">
        <v>11</v>
      </c>
      <c r="Q2">
        <f>COUNTIF(Data!F:F,"Training")</f>
        <v>7</v>
      </c>
      <c r="S2" t="s">
        <v>42</v>
      </c>
      <c r="T2">
        <f>COUNTIFS(Data!E:E,"Income")</f>
        <v>7</v>
      </c>
      <c r="V2" t="s">
        <v>12</v>
      </c>
      <c r="W2">
        <f>COUNTIF(Data!G:G,"Offline")</f>
        <v>8</v>
      </c>
    </row>
    <row r="3" spans="1:23">
      <c r="A3" t="s">
        <v>43</v>
      </c>
      <c r="B3">
        <f>COUNTIF(Data!C:C,"Homemaker")</f>
        <v>5</v>
      </c>
      <c r="D3" t="s">
        <v>17</v>
      </c>
      <c r="E3">
        <f>COUNTIF(Data!F:F,"Loan")</f>
        <v>2</v>
      </c>
      <c r="G3" t="s">
        <v>15</v>
      </c>
      <c r="H3">
        <f>COUNTIF(Data!D:D,"1-3")</f>
        <v>4</v>
      </c>
      <c r="J3" t="s">
        <v>13</v>
      </c>
      <c r="K3">
        <f>COUNTIF(Data!B:B,"D2")*10</f>
        <v>20</v>
      </c>
      <c r="M3" t="s">
        <v>13</v>
      </c>
      <c r="N3">
        <f>COUNTIFS(Data!B:B,"D2",Data!E:E,"Income")</f>
        <v>0</v>
      </c>
      <c r="P3" t="s">
        <v>17</v>
      </c>
      <c r="Q3">
        <f>COUNTIF(Data!F:F,"Loan")</f>
        <v>2</v>
      </c>
      <c r="S3" t="s">
        <v>44</v>
      </c>
      <c r="T3">
        <f>COUNTIFS(
  Data!E:E,"Income",
  Data!D:D,"0-1"
)</f>
        <v>6</v>
      </c>
      <c r="V3" t="s">
        <v>18</v>
      </c>
      <c r="W3">
        <f>COUNTIF(Data!G:G,"Online")</f>
        <v>4</v>
      </c>
    </row>
    <row r="4" spans="1:23">
      <c r="A4" t="s">
        <v>45</v>
      </c>
      <c r="B4">
        <f>COUNTIF(Data!C:C,"Entrepreneur")</f>
        <v>2</v>
      </c>
      <c r="D4" t="s">
        <v>23</v>
      </c>
      <c r="E4">
        <f>COUNTIF(Data!F:F,"Equipment")</f>
        <v>2</v>
      </c>
      <c r="G4" t="s">
        <v>19</v>
      </c>
      <c r="H4">
        <f>COUNTIF(Data!D:D,"3-5")</f>
        <v>2</v>
      </c>
      <c r="J4" t="s">
        <v>21</v>
      </c>
      <c r="K4">
        <f>COUNTIF(Data!B:B,"D3")*10</f>
        <v>20</v>
      </c>
      <c r="M4" t="s">
        <v>21</v>
      </c>
      <c r="N4">
        <f>COUNTIFS(Data!B:B,"D3",Data!E:E,"Income")</f>
        <v>2</v>
      </c>
      <c r="P4" t="s">
        <v>23</v>
      </c>
      <c r="Q4">
        <f>COUNTIF(Data!F:F,"Equipment")</f>
        <v>2</v>
      </c>
      <c r="S4" t="s">
        <v>46</v>
      </c>
      <c r="T4">
        <f>COUNTIFS(Data!E:E,"Income",Data!D:D,"1-3")</f>
        <v>1</v>
      </c>
    </row>
    <row r="5" spans="1:23">
      <c r="A5" t="s">
        <v>47</v>
      </c>
      <c r="B5">
        <f>COUNTIF(Data!C:C,"Farmer")</f>
        <v>2</v>
      </c>
      <c r="D5" t="s">
        <v>31</v>
      </c>
      <c r="E5">
        <f>COUNTIF(Data!F:F,"Funding")</f>
        <v>1</v>
      </c>
      <c r="J5" t="s">
        <v>24</v>
      </c>
      <c r="K5">
        <f>COUNTIF(Data!B:B,"D4")*10</f>
        <v>20</v>
      </c>
      <c r="M5" t="s">
        <v>24</v>
      </c>
      <c r="N5">
        <f>COUNTIFS(Data!B:B,"D4",Data!E:E,"Income")</f>
        <v>2</v>
      </c>
      <c r="P5" t="s">
        <v>31</v>
      </c>
      <c r="Q5">
        <f>COUNTIF(Data!F:F,"Funding")</f>
        <v>1</v>
      </c>
      <c r="S5" t="s">
        <v>48</v>
      </c>
      <c r="T5">
        <f>COUNTIFS(Data!E:E,"Income",Data!D:D,"3-5")</f>
        <v>0</v>
      </c>
    </row>
    <row r="6" spans="1:23">
      <c r="A6" t="s">
        <v>25</v>
      </c>
      <c r="B6">
        <f>COUNTIF(Data!C:C,"Differently-Abled")</f>
        <v>2</v>
      </c>
      <c r="J6" t="s">
        <v>26</v>
      </c>
      <c r="K6">
        <f>COUNTIF(Data!B:B,"D5")*10</f>
        <v>10</v>
      </c>
      <c r="M6" t="s">
        <v>26</v>
      </c>
      <c r="N6">
        <f>COUNTIFS(Data!B:B,"D5",Data!E:E,"Income")</f>
        <v>0</v>
      </c>
    </row>
    <row r="7" spans="1:23">
      <c r="J7" t="s">
        <v>29</v>
      </c>
      <c r="K7">
        <f>COUNTIF(Data!B:B,"D6")*10</f>
        <v>10</v>
      </c>
      <c r="M7" t="s">
        <v>29</v>
      </c>
      <c r="N7">
        <f>COUNTIFS(Data!B:B,"D6",Data!E:E,"Income")</f>
        <v>0</v>
      </c>
    </row>
    <row r="8" spans="1:23">
      <c r="J8" t="s">
        <v>32</v>
      </c>
      <c r="K8">
        <f>COUNTIF(Data!B:B,"D7")*10</f>
        <v>10</v>
      </c>
      <c r="M8" t="s">
        <v>32</v>
      </c>
      <c r="N8">
        <f>COUNTIFS(Data!B:B,"D7",Data!E:E,"Income")</f>
        <v>0</v>
      </c>
    </row>
    <row r="9" spans="1:23">
      <c r="J9" t="s">
        <v>33</v>
      </c>
      <c r="K9">
        <f>COUNTIF(Data!B:B,"D8")*10</f>
        <v>10</v>
      </c>
      <c r="M9" t="s">
        <v>33</v>
      </c>
      <c r="N9">
        <f>COUNTIFS(Data!B:B,"D8",Data!E:E,"Income")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7"/>
  <sheetViews>
    <sheetView tabSelected="1" workbookViewId="0">
      <selection activeCell="S3" sqref="S3"/>
    </sheetView>
  </sheetViews>
  <sheetFormatPr defaultRowHeight="15"/>
  <cols>
    <col min="1" max="16384" width="9.140625" style="3"/>
  </cols>
  <sheetData>
    <row r="1" spans="1:1" ht="18.75">
      <c r="A1" s="2" t="s">
        <v>49</v>
      </c>
    </row>
    <row r="3" spans="1:1">
      <c r="A3" s="4" t="s">
        <v>50</v>
      </c>
    </row>
    <row r="20" spans="1:1">
      <c r="A20" s="4" t="s">
        <v>51</v>
      </c>
    </row>
    <row r="37" spans="1:1">
      <c r="A37" s="4" t="s">
        <v>52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Puneeth Degala</cp:lastModifiedBy>
  <cp:revision/>
  <dcterms:created xsi:type="dcterms:W3CDTF">2026-01-28T04:26:05Z</dcterms:created>
  <dcterms:modified xsi:type="dcterms:W3CDTF">2026-01-28T09:12:52Z</dcterms:modified>
  <cp:category/>
  <cp:contentStatus/>
</cp:coreProperties>
</file>